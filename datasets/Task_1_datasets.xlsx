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DU Assignment\datascience\HIT140-Objective-1\datasets\"/>
    </mc:Choice>
  </mc:AlternateContent>
  <xr:revisionPtr revIDLastSave="0" documentId="13_ncr:1_{526CE9D0-56D3-4FCB-87B2-89FB2638E8A2}" xr6:coauthVersionLast="47" xr6:coauthVersionMax="47" xr10:uidLastSave="{00000000-0000-0000-0000-000000000000}"/>
  <bookViews>
    <workbookView xWindow="-120" yWindow="-120" windowWidth="20730" windowHeight="11040" xr2:uid="{FB2FEC5F-068F-4966-ABB7-BB1873B5A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L17" i="1" s="1"/>
  <c r="J18" i="1"/>
  <c r="L18" i="1" s="1"/>
  <c r="J19" i="1"/>
  <c r="J20" i="1"/>
  <c r="J21" i="1"/>
  <c r="J22" i="1"/>
  <c r="L22" i="1" s="1"/>
  <c r="J23" i="1"/>
  <c r="L23" i="1" s="1"/>
  <c r="J24" i="1"/>
  <c r="L24" i="1" s="1"/>
  <c r="J25" i="1"/>
  <c r="L25" i="1" s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K3" i="1"/>
  <c r="L3" i="1" s="1"/>
  <c r="K4" i="1"/>
  <c r="L4" i="1" s="1"/>
  <c r="K5" i="1"/>
  <c r="K6" i="1"/>
  <c r="L6" i="1" s="1"/>
  <c r="K7" i="1"/>
  <c r="K8" i="1"/>
  <c r="L8" i="1" s="1"/>
  <c r="K9" i="1"/>
  <c r="L9" i="1" s="1"/>
  <c r="K10" i="1"/>
  <c r="L10" i="1" s="1"/>
  <c r="K11" i="1"/>
  <c r="K12" i="1"/>
  <c r="L12" i="1" s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L30" i="1" s="1"/>
  <c r="K31" i="1"/>
  <c r="L31" i="1" s="1"/>
  <c r="K32" i="1"/>
  <c r="K33" i="1"/>
  <c r="K34" i="1"/>
  <c r="L34" i="1" s="1"/>
  <c r="K35" i="1"/>
  <c r="L35" i="1" s="1"/>
  <c r="K36" i="1"/>
  <c r="K37" i="1"/>
  <c r="K38" i="1"/>
  <c r="L38" i="1" s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  <c r="J2" i="1"/>
  <c r="L2" i="1" s="1"/>
  <c r="L19" i="1" l="1"/>
  <c r="L20" i="1"/>
  <c r="L21" i="1"/>
  <c r="L27" i="1"/>
  <c r="L28" i="1"/>
  <c r="L5" i="1"/>
  <c r="L11" i="1"/>
  <c r="L13" i="1"/>
  <c r="L32" i="1"/>
  <c r="L36" i="1"/>
  <c r="L37" i="1"/>
  <c r="L14" i="1"/>
  <c r="L16" i="1"/>
  <c r="L50" i="1"/>
  <c r="L7" i="1"/>
  <c r="L26" i="1"/>
  <c r="L33" i="1"/>
  <c r="L42" i="1"/>
  <c r="L43" i="1"/>
  <c r="L44" i="1"/>
  <c r="L45" i="1"/>
  <c r="L46" i="1"/>
  <c r="L47" i="1"/>
  <c r="L48" i="1"/>
  <c r="L29" i="1"/>
  <c r="L51" i="1"/>
  <c r="L39" i="1"/>
  <c r="L40" i="1"/>
  <c r="L41" i="1"/>
  <c r="L49" i="1"/>
  <c r="L15" i="1"/>
</calcChain>
</file>

<file path=xl/sharedStrings.xml><?xml version="1.0" encoding="utf-8"?>
<sst xmlns="http://schemas.openxmlformats.org/spreadsheetml/2006/main" count="212" uniqueCount="110">
  <si>
    <t>match_id</t>
  </si>
  <si>
    <t>winner_team</t>
  </si>
  <si>
    <t>loser_team</t>
  </si>
  <si>
    <t>winner_SOT_faced</t>
  </si>
  <si>
    <t>loser_SOT_faced</t>
  </si>
  <si>
    <t>SN</t>
  </si>
  <si>
    <t>29-jun-ge-pa</t>
  </si>
  <si>
    <t>stage</t>
  </si>
  <si>
    <t>First Stage</t>
  </si>
  <si>
    <t>Round of 32</t>
  </si>
  <si>
    <t>Round of 16</t>
  </si>
  <si>
    <t>Final</t>
  </si>
  <si>
    <t>Mexico</t>
  </si>
  <si>
    <t>Korea Republic</t>
  </si>
  <si>
    <t>USA</t>
  </si>
  <si>
    <t>Australia</t>
  </si>
  <si>
    <t>Germany</t>
  </si>
  <si>
    <t>France</t>
  </si>
  <si>
    <t>Norway</t>
  </si>
  <si>
    <t>Argentina</t>
  </si>
  <si>
    <t>Colombia</t>
  </si>
  <si>
    <t>Ghana</t>
  </si>
  <si>
    <t>Canada</t>
  </si>
  <si>
    <t>Japan</t>
  </si>
  <si>
    <t>Egypt</t>
  </si>
  <si>
    <t>Spain</t>
  </si>
  <si>
    <t>Croatia</t>
  </si>
  <si>
    <t>Portugal</t>
  </si>
  <si>
    <t>Switzerland</t>
  </si>
  <si>
    <t>Senegal</t>
  </si>
  <si>
    <t>England</t>
  </si>
  <si>
    <t>Congo DR</t>
  </si>
  <si>
    <t>Paraguay</t>
  </si>
  <si>
    <t>Belgium</t>
  </si>
  <si>
    <t>Morocco</t>
  </si>
  <si>
    <t>Bronze final</t>
  </si>
  <si>
    <t>Semi final</t>
  </si>
  <si>
    <t>Quarter final</t>
  </si>
  <si>
    <t>South Africa</t>
  </si>
  <si>
    <t>Czechia</t>
  </si>
  <si>
    <t>Iraq</t>
  </si>
  <si>
    <t>Algeria</t>
  </si>
  <si>
    <t>Uzbekistan</t>
  </si>
  <si>
    <t>Panama</t>
  </si>
  <si>
    <t>Tunisia</t>
  </si>
  <si>
    <t>New Zealand</t>
  </si>
  <si>
    <t>Saudi Arabia</t>
  </si>
  <si>
    <t>Austria</t>
  </si>
  <si>
    <t>Uruguay</t>
  </si>
  <si>
    <t>Jordan</t>
  </si>
  <si>
    <t>Bosnia and Herzegovina</t>
  </si>
  <si>
    <t>Cabo Verde</t>
  </si>
  <si>
    <t>Turkiye</t>
  </si>
  <si>
    <t>Cote d'Ivoire</t>
  </si>
  <si>
    <t>12-jun-me-so</t>
  </si>
  <si>
    <t>12-jun-ko-cz</t>
  </si>
  <si>
    <t>winner_goal_conceded</t>
  </si>
  <si>
    <t>loser_goal_conceded</t>
  </si>
  <si>
    <t>13-jun-us-pa</t>
  </si>
  <si>
    <t>14-jun-au-tu</t>
  </si>
  <si>
    <t>17-jun-fr-se</t>
  </si>
  <si>
    <t>17-jun-ir-no</t>
  </si>
  <si>
    <t>17-jun-ar-al</t>
  </si>
  <si>
    <t>18-jun-uz-co</t>
  </si>
  <si>
    <t>19-jun-me-kr</t>
  </si>
  <si>
    <t>20-jun-us-au</t>
  </si>
  <si>
    <t>21-jun-ge-co</t>
  </si>
  <si>
    <t>22-jun-nz-eg</t>
  </si>
  <si>
    <t>22-jun-sp-sa</t>
  </si>
  <si>
    <t>23-jun-ar-au</t>
  </si>
  <si>
    <t>24-jun-co-cd</t>
  </si>
  <si>
    <t>24-jun-pa-cr</t>
  </si>
  <si>
    <t>25-jun-sw-ca</t>
  </si>
  <si>
    <t>18-jun-gh-pa</t>
  </si>
  <si>
    <t>21-jun-tu-ja</t>
  </si>
  <si>
    <t>23-jun-n0-se</t>
  </si>
  <si>
    <t>18-jun-en-cr</t>
  </si>
  <si>
    <t>25-jun-mo-ha</t>
  </si>
  <si>
    <t>Haiti</t>
  </si>
  <si>
    <t>26-jun-ec-ge</t>
  </si>
  <si>
    <t>Ecuador</t>
  </si>
  <si>
    <t>26-jun-tu-us</t>
  </si>
  <si>
    <t>27-jun-no-fr</t>
  </si>
  <si>
    <t>27-jun-sp-ur</t>
  </si>
  <si>
    <t>27-jun-se-ir</t>
  </si>
  <si>
    <t>28-jun-cr-gh</t>
  </si>
  <si>
    <t>28-jun-jo-ar</t>
  </si>
  <si>
    <t>28-jun-cd-uz</t>
  </si>
  <si>
    <t>29-jun-sa-ca</t>
  </si>
  <si>
    <t>01-jul-co-no</t>
  </si>
  <si>
    <t>02-jul-be-se</t>
  </si>
  <si>
    <t>02-jul-us-bh</t>
  </si>
  <si>
    <t>03-jul-sw-al</t>
  </si>
  <si>
    <t>03-jul-po-cr</t>
  </si>
  <si>
    <t>04-jul-co-gh</t>
  </si>
  <si>
    <t>04-jul-ar-cv</t>
  </si>
  <si>
    <t>05-jul-pa-fr</t>
  </si>
  <si>
    <t>05-jul-ca-mo</t>
  </si>
  <si>
    <t>06-jul-me-en</t>
  </si>
  <si>
    <t>07-jul-po-sp</t>
  </si>
  <si>
    <t>10-jul-fr-mo</t>
  </si>
  <si>
    <t>11-jul-sp-be</t>
  </si>
  <si>
    <t>12-jul-ar-sw</t>
  </si>
  <si>
    <t>15-jul-fr-sp</t>
  </si>
  <si>
    <t>16-jul-en-ar</t>
  </si>
  <si>
    <t>19-jul-fr-en</t>
  </si>
  <si>
    <t>20-jul-sp-ar</t>
  </si>
  <si>
    <t>loser_defence_efficiency (%)</t>
  </si>
  <si>
    <t>efficiency_difference (%)</t>
  </si>
  <si>
    <t>winner_defence_efficiency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</si>
</sst>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BFEBD4-6C13-42A6-8A92-9F92116772ED}" name="Table1" displayName="Table1" ref="A1:L51" totalsRowShown="0" headerRowDxfId="0">
  <autoFilter ref="A1:L51" xr:uid="{87BFEBD4-6C13-42A6-8A92-9F92116772ED}"/>
  <tableColumns count="12">
    <tableColumn id="1" xr3:uid="{755B6A22-5058-46CA-9F37-A1ADCB46472B}" name="SN" dataDxfId="3"/>
    <tableColumn id="2" xr3:uid="{94441906-F583-4DDC-9F43-404C534A709C}" name="match_id"/>
    <tableColumn id="3" xr3:uid="{C26CCC8D-6222-4C2A-99E8-197E59369B7C}" name="stage"/>
    <tableColumn id="4" xr3:uid="{D442C33B-DD74-46FD-8AA8-8F83105C3245}" name="winner_team" dataDxfId="2"/>
    <tableColumn id="5" xr3:uid="{1128058B-A10F-4A68-8961-EEFC0595A481}" name="loser_team" dataDxfId="1"/>
    <tableColumn id="6" xr3:uid="{752D23AD-032F-4475-84C5-CA4AF144E5C8}" name="winner_goal_conceded"/>
    <tableColumn id="7" xr3:uid="{D51B327C-F6BB-4DE6-ADDF-AC7910B888C6}" name="loser_goal_conceded"/>
    <tableColumn id="8" xr3:uid="{04F3FD39-BAAA-4C7F-8606-79E4732FB8EC}" name="winner_SOT_faced"/>
    <tableColumn id="9" xr3:uid="{5E57F87D-71DB-49E7-A9E3-6A132CEF8CA3}" name="loser_SOT_faced"/>
    <tableColumn id="10" xr3:uid="{18C52F0B-5603-427C-80B4-4173CD7650B1}" name="winner_defence_efficiency (%)">
      <calculatedColumnFormula>((H2-F2)/H2)*100</calculatedColumnFormula>
    </tableColumn>
    <tableColumn id="11" xr3:uid="{1D03788C-DAD7-4D19-A827-D37A3CD0AB18}" name="loser_defence_efficiency (%)">
      <calculatedColumnFormula>((I2-G2)/I2)*100</calculatedColumnFormula>
    </tableColumn>
    <tableColumn id="12" xr3:uid="{04EFBE0A-AB32-4D06-8A16-4893612092BE}" name="efficiency_difference (%)">
      <calculatedColumnFormula>J2-K2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2C17C-C22D-484D-A0D1-E1C01CD8093F}">
  <dimension ref="A1:L51"/>
  <sheetViews>
    <sheetView tabSelected="1" zoomScaleNormal="100" workbookViewId="0">
      <selection sqref="A1:L51"/>
    </sheetView>
  </sheetViews>
  <sheetFormatPr defaultRowHeight="15" x14ac:dyDescent="0.25"/>
  <cols>
    <col min="2" max="2" width="12.85546875" bestFit="1" customWidth="1"/>
    <col min="3" max="3" width="12.85546875" customWidth="1"/>
    <col min="4" max="4" width="14.7109375" customWidth="1"/>
    <col min="5" max="5" width="22.42578125" bestFit="1" customWidth="1"/>
    <col min="6" max="6" width="23.5703125" customWidth="1"/>
    <col min="7" max="7" width="22.5703125" bestFit="1" customWidth="1"/>
    <col min="8" max="8" width="20.85546875" bestFit="1" customWidth="1"/>
    <col min="9" max="9" width="18" customWidth="1"/>
    <col min="10" max="10" width="30.85546875" customWidth="1"/>
    <col min="11" max="11" width="29.28515625" customWidth="1"/>
    <col min="12" max="12" width="25.85546875" customWidth="1"/>
    <col min="13" max="13" width="19.140625" bestFit="1" customWidth="1"/>
  </cols>
  <sheetData>
    <row r="1" spans="1:12" x14ac:dyDescent="0.25">
      <c r="A1" s="3" t="s">
        <v>5</v>
      </c>
      <c r="B1" s="3" t="s">
        <v>0</v>
      </c>
      <c r="C1" s="3" t="s">
        <v>7</v>
      </c>
      <c r="D1" s="3" t="s">
        <v>1</v>
      </c>
      <c r="E1" s="3" t="s">
        <v>2</v>
      </c>
      <c r="F1" s="3" t="s">
        <v>56</v>
      </c>
      <c r="G1" s="3" t="s">
        <v>57</v>
      </c>
      <c r="H1" s="3" t="s">
        <v>3</v>
      </c>
      <c r="I1" s="3" t="s">
        <v>4</v>
      </c>
      <c r="J1" s="3" t="s">
        <v>109</v>
      </c>
      <c r="K1" s="3" t="s">
        <v>107</v>
      </c>
      <c r="L1" s="3" t="s">
        <v>108</v>
      </c>
    </row>
    <row r="2" spans="1:12" x14ac:dyDescent="0.25">
      <c r="A2" s="1">
        <v>1</v>
      </c>
      <c r="B2" t="s">
        <v>54</v>
      </c>
      <c r="C2" t="s">
        <v>8</v>
      </c>
      <c r="D2" s="2" t="s">
        <v>12</v>
      </c>
      <c r="E2" s="2" t="s">
        <v>38</v>
      </c>
      <c r="F2">
        <v>0</v>
      </c>
      <c r="G2">
        <v>2</v>
      </c>
      <c r="H2">
        <v>2</v>
      </c>
      <c r="I2">
        <v>4</v>
      </c>
      <c r="J2">
        <f>((H2-F2)/H2)*100</f>
        <v>100</v>
      </c>
      <c r="K2">
        <f>((I2-G2)/I2)*100</f>
        <v>50</v>
      </c>
      <c r="L2">
        <f>J2-K2</f>
        <v>50</v>
      </c>
    </row>
    <row r="3" spans="1:12" x14ac:dyDescent="0.25">
      <c r="A3" s="1">
        <v>2</v>
      </c>
      <c r="B3" t="s">
        <v>55</v>
      </c>
      <c r="C3" t="s">
        <v>8</v>
      </c>
      <c r="D3" s="2" t="s">
        <v>13</v>
      </c>
      <c r="E3" s="2" t="s">
        <v>39</v>
      </c>
      <c r="F3">
        <v>1</v>
      </c>
      <c r="G3">
        <v>2</v>
      </c>
      <c r="H3">
        <v>4</v>
      </c>
      <c r="I3">
        <v>6</v>
      </c>
      <c r="J3">
        <f t="shared" ref="J3:J51" si="0">((H3-F3)/H3)*100</f>
        <v>75</v>
      </c>
      <c r="K3">
        <f t="shared" ref="K3:K51" si="1">((I3-G3)/I3)*100</f>
        <v>66.666666666666657</v>
      </c>
      <c r="L3">
        <f t="shared" ref="L3:L51" si="2">J3-K3</f>
        <v>8.3333333333333428</v>
      </c>
    </row>
    <row r="4" spans="1:12" x14ac:dyDescent="0.25">
      <c r="A4" s="1">
        <v>3</v>
      </c>
      <c r="B4" t="s">
        <v>58</v>
      </c>
      <c r="C4" t="s">
        <v>8</v>
      </c>
      <c r="D4" s="2" t="s">
        <v>14</v>
      </c>
      <c r="E4" s="2" t="s">
        <v>32</v>
      </c>
      <c r="F4">
        <v>1</v>
      </c>
      <c r="G4">
        <v>4</v>
      </c>
      <c r="H4">
        <v>1</v>
      </c>
      <c r="I4">
        <v>6</v>
      </c>
      <c r="J4">
        <f t="shared" si="0"/>
        <v>0</v>
      </c>
      <c r="K4">
        <f t="shared" si="1"/>
        <v>33.333333333333329</v>
      </c>
      <c r="L4">
        <f t="shared" si="2"/>
        <v>-33.333333333333329</v>
      </c>
    </row>
    <row r="5" spans="1:12" x14ac:dyDescent="0.25">
      <c r="A5" s="1">
        <v>4</v>
      </c>
      <c r="B5" t="s">
        <v>59</v>
      </c>
      <c r="C5" t="s">
        <v>8</v>
      </c>
      <c r="D5" s="2" t="s">
        <v>15</v>
      </c>
      <c r="E5" s="2" t="s">
        <v>52</v>
      </c>
      <c r="F5">
        <v>0</v>
      </c>
      <c r="G5">
        <v>2</v>
      </c>
      <c r="H5">
        <v>7</v>
      </c>
      <c r="I5">
        <v>4</v>
      </c>
      <c r="J5">
        <f t="shared" si="0"/>
        <v>100</v>
      </c>
      <c r="K5">
        <f t="shared" si="1"/>
        <v>50</v>
      </c>
      <c r="L5">
        <f t="shared" si="2"/>
        <v>50</v>
      </c>
    </row>
    <row r="6" spans="1:12" x14ac:dyDescent="0.25">
      <c r="A6" s="1">
        <v>5</v>
      </c>
      <c r="B6" t="s">
        <v>60</v>
      </c>
      <c r="C6" t="s">
        <v>8</v>
      </c>
      <c r="D6" s="2" t="s">
        <v>17</v>
      </c>
      <c r="E6" s="2" t="s">
        <v>29</v>
      </c>
      <c r="F6">
        <v>1</v>
      </c>
      <c r="G6">
        <v>3</v>
      </c>
      <c r="H6">
        <v>2</v>
      </c>
      <c r="I6">
        <v>8</v>
      </c>
      <c r="J6">
        <f t="shared" si="0"/>
        <v>50</v>
      </c>
      <c r="K6">
        <f t="shared" si="1"/>
        <v>62.5</v>
      </c>
      <c r="L6">
        <f t="shared" si="2"/>
        <v>-12.5</v>
      </c>
    </row>
    <row r="7" spans="1:12" x14ac:dyDescent="0.25">
      <c r="A7" s="1">
        <v>6</v>
      </c>
      <c r="B7" t="s">
        <v>61</v>
      </c>
      <c r="C7" t="s">
        <v>8</v>
      </c>
      <c r="D7" s="2" t="s">
        <v>18</v>
      </c>
      <c r="E7" s="2" t="s">
        <v>40</v>
      </c>
      <c r="F7">
        <v>1</v>
      </c>
      <c r="G7">
        <v>4</v>
      </c>
      <c r="H7">
        <v>1</v>
      </c>
      <c r="I7">
        <v>5</v>
      </c>
      <c r="J7">
        <f t="shared" si="0"/>
        <v>0</v>
      </c>
      <c r="K7">
        <f t="shared" si="1"/>
        <v>20</v>
      </c>
      <c r="L7">
        <f t="shared" si="2"/>
        <v>-20</v>
      </c>
    </row>
    <row r="8" spans="1:12" x14ac:dyDescent="0.25">
      <c r="A8" s="1">
        <v>7</v>
      </c>
      <c r="B8" t="s">
        <v>62</v>
      </c>
      <c r="C8" t="s">
        <v>8</v>
      </c>
      <c r="D8" s="2" t="s">
        <v>19</v>
      </c>
      <c r="E8" s="2" t="s">
        <v>41</v>
      </c>
      <c r="F8">
        <v>0</v>
      </c>
      <c r="G8">
        <v>3</v>
      </c>
      <c r="H8">
        <v>1</v>
      </c>
      <c r="I8">
        <v>6</v>
      </c>
      <c r="J8">
        <f t="shared" si="0"/>
        <v>100</v>
      </c>
      <c r="K8">
        <f t="shared" si="1"/>
        <v>50</v>
      </c>
      <c r="L8">
        <f t="shared" si="2"/>
        <v>50</v>
      </c>
    </row>
    <row r="9" spans="1:12" x14ac:dyDescent="0.25">
      <c r="A9" s="1">
        <v>8</v>
      </c>
      <c r="B9" t="s">
        <v>76</v>
      </c>
      <c r="C9" t="s">
        <v>8</v>
      </c>
      <c r="D9" s="2" t="s">
        <v>30</v>
      </c>
      <c r="E9" s="2" t="s">
        <v>26</v>
      </c>
      <c r="F9">
        <v>2</v>
      </c>
      <c r="G9">
        <v>4</v>
      </c>
      <c r="H9">
        <v>5</v>
      </c>
      <c r="I9">
        <v>11</v>
      </c>
      <c r="J9">
        <f t="shared" si="0"/>
        <v>60</v>
      </c>
      <c r="K9">
        <f t="shared" si="1"/>
        <v>63.636363636363633</v>
      </c>
      <c r="L9">
        <f t="shared" si="2"/>
        <v>-3.6363636363636331</v>
      </c>
    </row>
    <row r="10" spans="1:12" x14ac:dyDescent="0.25">
      <c r="A10" s="1">
        <v>9</v>
      </c>
      <c r="B10" t="s">
        <v>63</v>
      </c>
      <c r="C10" t="s">
        <v>8</v>
      </c>
      <c r="D10" s="2" t="s">
        <v>20</v>
      </c>
      <c r="E10" s="2" t="s">
        <v>42</v>
      </c>
      <c r="F10">
        <v>1</v>
      </c>
      <c r="G10">
        <v>3</v>
      </c>
      <c r="H10">
        <v>2</v>
      </c>
      <c r="I10">
        <v>4</v>
      </c>
      <c r="J10">
        <f t="shared" si="0"/>
        <v>50</v>
      </c>
      <c r="K10">
        <f t="shared" si="1"/>
        <v>25</v>
      </c>
      <c r="L10">
        <f t="shared" si="2"/>
        <v>25</v>
      </c>
    </row>
    <row r="11" spans="1:12" x14ac:dyDescent="0.25">
      <c r="A11" s="1">
        <v>10</v>
      </c>
      <c r="B11" t="s">
        <v>73</v>
      </c>
      <c r="C11" t="s">
        <v>8</v>
      </c>
      <c r="D11" s="2" t="s">
        <v>21</v>
      </c>
      <c r="E11" s="2" t="s">
        <v>43</v>
      </c>
      <c r="F11">
        <v>0</v>
      </c>
      <c r="G11">
        <v>1</v>
      </c>
      <c r="H11">
        <v>4</v>
      </c>
      <c r="I11">
        <v>2</v>
      </c>
      <c r="J11">
        <f t="shared" si="0"/>
        <v>100</v>
      </c>
      <c r="K11">
        <f t="shared" si="1"/>
        <v>50</v>
      </c>
      <c r="L11">
        <f t="shared" si="2"/>
        <v>50</v>
      </c>
    </row>
    <row r="12" spans="1:12" x14ac:dyDescent="0.25">
      <c r="A12" s="1">
        <v>11</v>
      </c>
      <c r="B12" t="s">
        <v>64</v>
      </c>
      <c r="C12" t="s">
        <v>8</v>
      </c>
      <c r="D12" s="2" t="s">
        <v>12</v>
      </c>
      <c r="E12" s="2" t="s">
        <v>13</v>
      </c>
      <c r="F12">
        <v>0</v>
      </c>
      <c r="G12">
        <v>1</v>
      </c>
      <c r="H12">
        <v>2</v>
      </c>
      <c r="I12">
        <v>4</v>
      </c>
      <c r="J12">
        <f t="shared" si="0"/>
        <v>100</v>
      </c>
      <c r="K12">
        <f t="shared" si="1"/>
        <v>75</v>
      </c>
      <c r="L12">
        <f t="shared" si="2"/>
        <v>25</v>
      </c>
    </row>
    <row r="13" spans="1:12" x14ac:dyDescent="0.25">
      <c r="A13" s="1">
        <v>12</v>
      </c>
      <c r="B13" t="s">
        <v>65</v>
      </c>
      <c r="C13" t="s">
        <v>8</v>
      </c>
      <c r="D13" s="2" t="s">
        <v>14</v>
      </c>
      <c r="E13" s="2" t="s">
        <v>15</v>
      </c>
      <c r="F13">
        <v>0</v>
      </c>
      <c r="G13">
        <v>2</v>
      </c>
      <c r="H13">
        <v>2</v>
      </c>
      <c r="I13">
        <v>2</v>
      </c>
      <c r="J13">
        <f t="shared" si="0"/>
        <v>100</v>
      </c>
      <c r="K13">
        <f t="shared" si="1"/>
        <v>0</v>
      </c>
      <c r="L13">
        <f t="shared" si="2"/>
        <v>100</v>
      </c>
    </row>
    <row r="14" spans="1:12" x14ac:dyDescent="0.25">
      <c r="A14" s="1">
        <v>13</v>
      </c>
      <c r="B14" t="s">
        <v>66</v>
      </c>
      <c r="C14" t="s">
        <v>8</v>
      </c>
      <c r="D14" s="2" t="s">
        <v>16</v>
      </c>
      <c r="E14" s="2" t="s">
        <v>53</v>
      </c>
      <c r="F14">
        <v>1</v>
      </c>
      <c r="G14">
        <v>2</v>
      </c>
      <c r="H14">
        <v>2</v>
      </c>
      <c r="I14">
        <v>7</v>
      </c>
      <c r="J14">
        <f t="shared" si="0"/>
        <v>50</v>
      </c>
      <c r="K14">
        <f t="shared" si="1"/>
        <v>71.428571428571431</v>
      </c>
      <c r="L14">
        <f t="shared" si="2"/>
        <v>-21.428571428571431</v>
      </c>
    </row>
    <row r="15" spans="1:12" x14ac:dyDescent="0.25">
      <c r="A15" s="1">
        <v>14</v>
      </c>
      <c r="B15" t="s">
        <v>74</v>
      </c>
      <c r="C15" t="s">
        <v>8</v>
      </c>
      <c r="D15" s="2" t="s">
        <v>23</v>
      </c>
      <c r="E15" s="2" t="s">
        <v>44</v>
      </c>
      <c r="F15">
        <v>0</v>
      </c>
      <c r="G15">
        <v>4</v>
      </c>
      <c r="H15">
        <v>0</v>
      </c>
      <c r="I15">
        <v>4</v>
      </c>
      <c r="J15" t="e">
        <f t="shared" si="0"/>
        <v>#DIV/0!</v>
      </c>
      <c r="K15">
        <f t="shared" si="1"/>
        <v>0</v>
      </c>
      <c r="L15" t="e">
        <f t="shared" si="2"/>
        <v>#DIV/0!</v>
      </c>
    </row>
    <row r="16" spans="1:12" x14ac:dyDescent="0.25">
      <c r="A16" s="1">
        <v>15</v>
      </c>
      <c r="B16" t="s">
        <v>67</v>
      </c>
      <c r="C16" t="s">
        <v>8</v>
      </c>
      <c r="D16" s="2" t="s">
        <v>24</v>
      </c>
      <c r="E16" s="2" t="s">
        <v>45</v>
      </c>
      <c r="F16">
        <v>1</v>
      </c>
      <c r="G16">
        <v>3</v>
      </c>
      <c r="H16">
        <v>5</v>
      </c>
      <c r="I16">
        <v>7</v>
      </c>
      <c r="J16">
        <f t="shared" si="0"/>
        <v>80</v>
      </c>
      <c r="K16">
        <f t="shared" si="1"/>
        <v>57.142857142857139</v>
      </c>
      <c r="L16">
        <f t="shared" si="2"/>
        <v>22.857142857142861</v>
      </c>
    </row>
    <row r="17" spans="1:12" x14ac:dyDescent="0.25">
      <c r="A17" s="1">
        <v>16</v>
      </c>
      <c r="B17" t="s">
        <v>68</v>
      </c>
      <c r="C17" t="s">
        <v>8</v>
      </c>
      <c r="D17" s="2" t="s">
        <v>25</v>
      </c>
      <c r="E17" s="2" t="s">
        <v>46</v>
      </c>
      <c r="F17">
        <v>0</v>
      </c>
      <c r="G17">
        <v>4</v>
      </c>
      <c r="H17">
        <v>2</v>
      </c>
      <c r="I17">
        <v>8</v>
      </c>
      <c r="J17">
        <f t="shared" si="0"/>
        <v>100</v>
      </c>
      <c r="K17">
        <f t="shared" si="1"/>
        <v>50</v>
      </c>
      <c r="L17">
        <f t="shared" si="2"/>
        <v>50</v>
      </c>
    </row>
    <row r="18" spans="1:12" x14ac:dyDescent="0.25">
      <c r="A18" s="1">
        <v>17</v>
      </c>
      <c r="B18" t="s">
        <v>75</v>
      </c>
      <c r="C18" t="s">
        <v>8</v>
      </c>
      <c r="D18" s="2" t="s">
        <v>18</v>
      </c>
      <c r="E18" s="2" t="s">
        <v>29</v>
      </c>
      <c r="F18">
        <v>2</v>
      </c>
      <c r="G18">
        <v>3</v>
      </c>
      <c r="H18">
        <v>4</v>
      </c>
      <c r="I18">
        <v>7</v>
      </c>
      <c r="J18">
        <f t="shared" si="0"/>
        <v>50</v>
      </c>
      <c r="K18">
        <f t="shared" si="1"/>
        <v>57.142857142857139</v>
      </c>
      <c r="L18">
        <f t="shared" si="2"/>
        <v>-7.1428571428571388</v>
      </c>
    </row>
    <row r="19" spans="1:12" x14ac:dyDescent="0.25">
      <c r="A19" s="1">
        <v>18</v>
      </c>
      <c r="B19" t="s">
        <v>69</v>
      </c>
      <c r="C19" t="s">
        <v>8</v>
      </c>
      <c r="D19" s="2" t="s">
        <v>19</v>
      </c>
      <c r="E19" s="2" t="s">
        <v>47</v>
      </c>
      <c r="F19">
        <v>0</v>
      </c>
      <c r="G19">
        <v>2</v>
      </c>
      <c r="H19">
        <v>1</v>
      </c>
      <c r="I19">
        <v>5</v>
      </c>
      <c r="J19">
        <f t="shared" si="0"/>
        <v>100</v>
      </c>
      <c r="K19">
        <f t="shared" si="1"/>
        <v>60</v>
      </c>
      <c r="L19">
        <f t="shared" si="2"/>
        <v>40</v>
      </c>
    </row>
    <row r="20" spans="1:12" x14ac:dyDescent="0.25">
      <c r="A20" s="1">
        <v>19</v>
      </c>
      <c r="B20" t="s">
        <v>70</v>
      </c>
      <c r="C20" t="s">
        <v>8</v>
      </c>
      <c r="D20" s="2" t="s">
        <v>20</v>
      </c>
      <c r="E20" s="2" t="s">
        <v>31</v>
      </c>
      <c r="F20">
        <v>0</v>
      </c>
      <c r="G20">
        <v>1</v>
      </c>
      <c r="H20">
        <v>1</v>
      </c>
      <c r="I20">
        <v>9</v>
      </c>
      <c r="J20">
        <f t="shared" si="0"/>
        <v>100</v>
      </c>
      <c r="K20">
        <f t="shared" si="1"/>
        <v>88.888888888888886</v>
      </c>
      <c r="L20">
        <f t="shared" si="2"/>
        <v>11.111111111111114</v>
      </c>
    </row>
    <row r="21" spans="1:12" x14ac:dyDescent="0.25">
      <c r="A21" s="1">
        <v>20</v>
      </c>
      <c r="B21" t="s">
        <v>71</v>
      </c>
      <c r="C21" t="s">
        <v>8</v>
      </c>
      <c r="D21" s="2" t="s">
        <v>26</v>
      </c>
      <c r="E21" s="2" t="s">
        <v>43</v>
      </c>
      <c r="F21">
        <v>0</v>
      </c>
      <c r="G21">
        <v>1</v>
      </c>
      <c r="H21">
        <v>1</v>
      </c>
      <c r="I21">
        <v>2</v>
      </c>
      <c r="J21">
        <f t="shared" si="0"/>
        <v>100</v>
      </c>
      <c r="K21">
        <f t="shared" si="1"/>
        <v>50</v>
      </c>
      <c r="L21">
        <f t="shared" si="2"/>
        <v>50</v>
      </c>
    </row>
    <row r="22" spans="1:12" x14ac:dyDescent="0.25">
      <c r="A22" s="1">
        <v>21</v>
      </c>
      <c r="B22" t="s">
        <v>72</v>
      </c>
      <c r="C22" t="s">
        <v>8</v>
      </c>
      <c r="D22" s="2" t="s">
        <v>28</v>
      </c>
      <c r="E22" s="2" t="s">
        <v>22</v>
      </c>
      <c r="F22">
        <v>1</v>
      </c>
      <c r="G22">
        <v>2</v>
      </c>
      <c r="H22">
        <v>7</v>
      </c>
      <c r="I22">
        <v>4</v>
      </c>
      <c r="J22">
        <f t="shared" si="0"/>
        <v>85.714285714285708</v>
      </c>
      <c r="K22">
        <f t="shared" si="1"/>
        <v>50</v>
      </c>
      <c r="L22">
        <f t="shared" si="2"/>
        <v>35.714285714285708</v>
      </c>
    </row>
    <row r="23" spans="1:12" x14ac:dyDescent="0.25">
      <c r="A23" s="1">
        <v>22</v>
      </c>
      <c r="B23" t="s">
        <v>77</v>
      </c>
      <c r="C23" t="s">
        <v>8</v>
      </c>
      <c r="D23" s="2" t="s">
        <v>34</v>
      </c>
      <c r="E23" s="2" t="s">
        <v>78</v>
      </c>
      <c r="F23">
        <v>2</v>
      </c>
      <c r="G23">
        <v>4</v>
      </c>
      <c r="H23">
        <v>2</v>
      </c>
      <c r="I23">
        <v>11</v>
      </c>
      <c r="J23">
        <f t="shared" si="0"/>
        <v>0</v>
      </c>
      <c r="K23">
        <f t="shared" si="1"/>
        <v>63.636363636363633</v>
      </c>
      <c r="L23">
        <f t="shared" si="2"/>
        <v>-63.636363636363633</v>
      </c>
    </row>
    <row r="24" spans="1:12" x14ac:dyDescent="0.25">
      <c r="A24" s="1">
        <v>23</v>
      </c>
      <c r="B24" t="s">
        <v>79</v>
      </c>
      <c r="C24" t="s">
        <v>8</v>
      </c>
      <c r="D24" s="2" t="s">
        <v>80</v>
      </c>
      <c r="E24" s="2" t="s">
        <v>16</v>
      </c>
      <c r="F24">
        <v>1</v>
      </c>
      <c r="G24">
        <v>2</v>
      </c>
      <c r="H24">
        <v>3</v>
      </c>
      <c r="I24">
        <v>3</v>
      </c>
      <c r="J24">
        <f t="shared" si="0"/>
        <v>66.666666666666657</v>
      </c>
      <c r="K24">
        <f t="shared" si="1"/>
        <v>33.333333333333329</v>
      </c>
      <c r="L24">
        <f t="shared" si="2"/>
        <v>33.333333333333329</v>
      </c>
    </row>
    <row r="25" spans="1:12" x14ac:dyDescent="0.25">
      <c r="A25" s="1">
        <v>24</v>
      </c>
      <c r="B25" t="s">
        <v>81</v>
      </c>
      <c r="C25" t="s">
        <v>8</v>
      </c>
      <c r="D25" s="2" t="s">
        <v>52</v>
      </c>
      <c r="E25" s="2" t="s">
        <v>14</v>
      </c>
      <c r="F25">
        <v>2</v>
      </c>
      <c r="G25">
        <v>3</v>
      </c>
      <c r="H25">
        <v>7</v>
      </c>
      <c r="I25">
        <v>3</v>
      </c>
      <c r="J25">
        <f t="shared" si="0"/>
        <v>71.428571428571431</v>
      </c>
      <c r="K25">
        <f t="shared" si="1"/>
        <v>0</v>
      </c>
      <c r="L25">
        <f t="shared" si="2"/>
        <v>71.428571428571431</v>
      </c>
    </row>
    <row r="26" spans="1:12" x14ac:dyDescent="0.25">
      <c r="A26" s="1">
        <v>25</v>
      </c>
      <c r="B26" t="s">
        <v>82</v>
      </c>
      <c r="C26" t="s">
        <v>8</v>
      </c>
      <c r="D26" s="2" t="s">
        <v>17</v>
      </c>
      <c r="E26" s="2" t="s">
        <v>18</v>
      </c>
      <c r="F26">
        <v>1</v>
      </c>
      <c r="G26">
        <v>4</v>
      </c>
      <c r="H26">
        <v>5</v>
      </c>
      <c r="I26">
        <v>9</v>
      </c>
      <c r="J26">
        <f t="shared" si="0"/>
        <v>80</v>
      </c>
      <c r="K26">
        <f t="shared" si="1"/>
        <v>55.555555555555557</v>
      </c>
      <c r="L26">
        <f t="shared" si="2"/>
        <v>24.444444444444443</v>
      </c>
    </row>
    <row r="27" spans="1:12" x14ac:dyDescent="0.25">
      <c r="A27" s="1">
        <v>26</v>
      </c>
      <c r="B27" t="s">
        <v>83</v>
      </c>
      <c r="C27" t="s">
        <v>8</v>
      </c>
      <c r="D27" s="2" t="s">
        <v>25</v>
      </c>
      <c r="E27" s="2" t="s">
        <v>48</v>
      </c>
      <c r="F27">
        <v>0</v>
      </c>
      <c r="G27">
        <v>1</v>
      </c>
      <c r="H27">
        <v>1</v>
      </c>
      <c r="I27">
        <v>1</v>
      </c>
      <c r="J27">
        <f t="shared" si="0"/>
        <v>100</v>
      </c>
      <c r="K27">
        <f t="shared" si="1"/>
        <v>0</v>
      </c>
      <c r="L27">
        <f t="shared" si="2"/>
        <v>100</v>
      </c>
    </row>
    <row r="28" spans="1:12" x14ac:dyDescent="0.25">
      <c r="A28" s="1">
        <v>27</v>
      </c>
      <c r="B28" t="s">
        <v>84</v>
      </c>
      <c r="C28" t="s">
        <v>8</v>
      </c>
      <c r="D28" s="2" t="s">
        <v>29</v>
      </c>
      <c r="E28" s="2" t="s">
        <v>40</v>
      </c>
      <c r="F28">
        <v>0</v>
      </c>
      <c r="G28">
        <v>5</v>
      </c>
      <c r="H28">
        <v>1</v>
      </c>
      <c r="I28">
        <v>11</v>
      </c>
      <c r="J28">
        <f t="shared" si="0"/>
        <v>100</v>
      </c>
      <c r="K28">
        <f t="shared" si="1"/>
        <v>54.54545454545454</v>
      </c>
      <c r="L28">
        <f t="shared" si="2"/>
        <v>45.45454545454546</v>
      </c>
    </row>
    <row r="29" spans="1:12" x14ac:dyDescent="0.25">
      <c r="A29" s="1">
        <v>28</v>
      </c>
      <c r="B29" t="s">
        <v>85</v>
      </c>
      <c r="C29" t="s">
        <v>8</v>
      </c>
      <c r="D29" s="2" t="s">
        <v>26</v>
      </c>
      <c r="E29" s="2" t="s">
        <v>21</v>
      </c>
      <c r="F29">
        <v>1</v>
      </c>
      <c r="G29">
        <v>2</v>
      </c>
      <c r="H29">
        <v>1</v>
      </c>
      <c r="I29">
        <v>4</v>
      </c>
      <c r="J29">
        <f t="shared" si="0"/>
        <v>0</v>
      </c>
      <c r="K29">
        <f t="shared" si="1"/>
        <v>50</v>
      </c>
      <c r="L29">
        <f t="shared" si="2"/>
        <v>-50</v>
      </c>
    </row>
    <row r="30" spans="1:12" x14ac:dyDescent="0.25">
      <c r="A30" s="1">
        <v>29</v>
      </c>
      <c r="B30" t="s">
        <v>86</v>
      </c>
      <c r="C30" t="s">
        <v>8</v>
      </c>
      <c r="D30" s="2" t="s">
        <v>19</v>
      </c>
      <c r="E30" s="2" t="s">
        <v>49</v>
      </c>
      <c r="F30">
        <v>1</v>
      </c>
      <c r="G30">
        <v>3</v>
      </c>
      <c r="H30">
        <v>1</v>
      </c>
      <c r="I30">
        <v>4</v>
      </c>
      <c r="J30">
        <f t="shared" si="0"/>
        <v>0</v>
      </c>
      <c r="K30">
        <f t="shared" si="1"/>
        <v>25</v>
      </c>
      <c r="L30">
        <f t="shared" si="2"/>
        <v>-25</v>
      </c>
    </row>
    <row r="31" spans="1:12" x14ac:dyDescent="0.25">
      <c r="A31" s="1">
        <v>30</v>
      </c>
      <c r="B31" t="s">
        <v>87</v>
      </c>
      <c r="C31" t="s">
        <v>8</v>
      </c>
      <c r="D31" s="2" t="s">
        <v>31</v>
      </c>
      <c r="E31" s="2" t="s">
        <v>42</v>
      </c>
      <c r="F31">
        <v>1</v>
      </c>
      <c r="G31">
        <v>3</v>
      </c>
      <c r="H31">
        <v>1</v>
      </c>
      <c r="I31">
        <v>5</v>
      </c>
      <c r="J31">
        <f t="shared" si="0"/>
        <v>0</v>
      </c>
      <c r="K31">
        <f t="shared" si="1"/>
        <v>40</v>
      </c>
      <c r="L31">
        <f t="shared" si="2"/>
        <v>-40</v>
      </c>
    </row>
    <row r="32" spans="1:12" x14ac:dyDescent="0.25">
      <c r="A32" s="1">
        <v>31</v>
      </c>
      <c r="B32" t="s">
        <v>88</v>
      </c>
      <c r="C32" t="s">
        <v>9</v>
      </c>
      <c r="D32" s="2" t="s">
        <v>22</v>
      </c>
      <c r="E32" s="2" t="s">
        <v>38</v>
      </c>
      <c r="F32">
        <v>0</v>
      </c>
      <c r="G32">
        <v>1</v>
      </c>
      <c r="H32">
        <v>1</v>
      </c>
      <c r="I32">
        <v>7</v>
      </c>
      <c r="J32">
        <f t="shared" si="0"/>
        <v>100</v>
      </c>
      <c r="K32">
        <f t="shared" si="1"/>
        <v>85.714285714285708</v>
      </c>
      <c r="L32">
        <f t="shared" si="2"/>
        <v>14.285714285714292</v>
      </c>
    </row>
    <row r="33" spans="1:12" x14ac:dyDescent="0.25">
      <c r="A33" s="1">
        <v>32</v>
      </c>
      <c r="B33" t="s">
        <v>6</v>
      </c>
      <c r="C33" t="s">
        <v>9</v>
      </c>
      <c r="D33" s="2" t="s">
        <v>32</v>
      </c>
      <c r="E33" s="2" t="s">
        <v>16</v>
      </c>
      <c r="F33">
        <v>1</v>
      </c>
      <c r="G33">
        <v>1</v>
      </c>
      <c r="H33">
        <v>6</v>
      </c>
      <c r="I33">
        <v>3</v>
      </c>
      <c r="J33">
        <f t="shared" si="0"/>
        <v>83.333333333333343</v>
      </c>
      <c r="K33">
        <f t="shared" si="1"/>
        <v>66.666666666666657</v>
      </c>
      <c r="L33">
        <f t="shared" si="2"/>
        <v>16.666666666666686</v>
      </c>
    </row>
    <row r="34" spans="1:12" x14ac:dyDescent="0.25">
      <c r="A34" s="1">
        <v>33</v>
      </c>
      <c r="B34" t="s">
        <v>89</v>
      </c>
      <c r="C34" t="s">
        <v>9</v>
      </c>
      <c r="D34" s="2" t="s">
        <v>18</v>
      </c>
      <c r="E34" s="2" t="s">
        <v>53</v>
      </c>
      <c r="F34">
        <v>1</v>
      </c>
      <c r="G34">
        <v>2</v>
      </c>
      <c r="H34">
        <v>5</v>
      </c>
      <c r="I34">
        <v>4</v>
      </c>
      <c r="J34">
        <f t="shared" si="0"/>
        <v>80</v>
      </c>
      <c r="K34">
        <f t="shared" si="1"/>
        <v>50</v>
      </c>
      <c r="L34">
        <f t="shared" si="2"/>
        <v>30</v>
      </c>
    </row>
    <row r="35" spans="1:12" x14ac:dyDescent="0.25">
      <c r="A35" s="1">
        <v>34</v>
      </c>
      <c r="B35" t="s">
        <v>90</v>
      </c>
      <c r="C35" t="s">
        <v>9</v>
      </c>
      <c r="D35" s="2" t="s">
        <v>33</v>
      </c>
      <c r="E35" s="2" t="s">
        <v>29</v>
      </c>
      <c r="F35">
        <v>2</v>
      </c>
      <c r="G35">
        <v>3</v>
      </c>
      <c r="H35">
        <v>5</v>
      </c>
      <c r="I35">
        <v>5</v>
      </c>
      <c r="J35">
        <f t="shared" si="0"/>
        <v>60</v>
      </c>
      <c r="K35">
        <f t="shared" si="1"/>
        <v>40</v>
      </c>
      <c r="L35">
        <f t="shared" si="2"/>
        <v>20</v>
      </c>
    </row>
    <row r="36" spans="1:12" x14ac:dyDescent="0.25">
      <c r="A36" s="1">
        <v>35</v>
      </c>
      <c r="B36" t="s">
        <v>91</v>
      </c>
      <c r="C36" t="s">
        <v>9</v>
      </c>
      <c r="D36" s="2" t="s">
        <v>14</v>
      </c>
      <c r="E36" s="2" t="s">
        <v>50</v>
      </c>
      <c r="F36">
        <v>0</v>
      </c>
      <c r="G36">
        <v>2</v>
      </c>
      <c r="H36">
        <v>3</v>
      </c>
      <c r="I36">
        <v>2</v>
      </c>
      <c r="J36">
        <f t="shared" si="0"/>
        <v>100</v>
      </c>
      <c r="K36">
        <f t="shared" si="1"/>
        <v>0</v>
      </c>
      <c r="L36">
        <f t="shared" si="2"/>
        <v>100</v>
      </c>
    </row>
    <row r="37" spans="1:12" x14ac:dyDescent="0.25">
      <c r="A37" s="1">
        <v>36</v>
      </c>
      <c r="B37" t="s">
        <v>92</v>
      </c>
      <c r="C37" t="s">
        <v>9</v>
      </c>
      <c r="D37" s="2" t="s">
        <v>28</v>
      </c>
      <c r="E37" s="2" t="s">
        <v>41</v>
      </c>
      <c r="F37">
        <v>0</v>
      </c>
      <c r="G37">
        <v>2</v>
      </c>
      <c r="H37">
        <v>2</v>
      </c>
      <c r="I37">
        <v>5</v>
      </c>
      <c r="J37">
        <f t="shared" si="0"/>
        <v>100</v>
      </c>
      <c r="K37">
        <f t="shared" si="1"/>
        <v>60</v>
      </c>
      <c r="L37">
        <f t="shared" si="2"/>
        <v>40</v>
      </c>
    </row>
    <row r="38" spans="1:12" x14ac:dyDescent="0.25">
      <c r="A38" s="1">
        <v>37</v>
      </c>
      <c r="B38" t="s">
        <v>93</v>
      </c>
      <c r="C38" t="s">
        <v>9</v>
      </c>
      <c r="D38" s="2" t="s">
        <v>27</v>
      </c>
      <c r="E38" s="2" t="s">
        <v>26</v>
      </c>
      <c r="F38">
        <v>1</v>
      </c>
      <c r="G38">
        <v>2</v>
      </c>
      <c r="H38">
        <v>6</v>
      </c>
      <c r="I38">
        <v>3</v>
      </c>
      <c r="J38">
        <f t="shared" si="0"/>
        <v>83.333333333333343</v>
      </c>
      <c r="K38">
        <f t="shared" si="1"/>
        <v>33.333333333333329</v>
      </c>
      <c r="L38">
        <f t="shared" si="2"/>
        <v>50.000000000000014</v>
      </c>
    </row>
    <row r="39" spans="1:12" x14ac:dyDescent="0.25">
      <c r="A39" s="1">
        <v>38</v>
      </c>
      <c r="B39" t="s">
        <v>94</v>
      </c>
      <c r="C39" t="s">
        <v>9</v>
      </c>
      <c r="D39" s="2" t="s">
        <v>20</v>
      </c>
      <c r="E39" s="2" t="s">
        <v>21</v>
      </c>
      <c r="F39">
        <v>0</v>
      </c>
      <c r="G39">
        <v>1</v>
      </c>
      <c r="H39">
        <v>0</v>
      </c>
      <c r="I39">
        <v>8</v>
      </c>
      <c r="J39" t="e">
        <f t="shared" si="0"/>
        <v>#DIV/0!</v>
      </c>
      <c r="K39">
        <f t="shared" si="1"/>
        <v>87.5</v>
      </c>
      <c r="L39" t="e">
        <f t="shared" si="2"/>
        <v>#DIV/0!</v>
      </c>
    </row>
    <row r="40" spans="1:12" x14ac:dyDescent="0.25">
      <c r="A40" s="1">
        <v>39</v>
      </c>
      <c r="B40" t="s">
        <v>95</v>
      </c>
      <c r="C40" t="s">
        <v>9</v>
      </c>
      <c r="D40" s="2" t="s">
        <v>19</v>
      </c>
      <c r="E40" s="2" t="s">
        <v>51</v>
      </c>
      <c r="F40">
        <v>2</v>
      </c>
      <c r="G40">
        <v>3</v>
      </c>
      <c r="H40">
        <v>5</v>
      </c>
      <c r="I40">
        <v>12</v>
      </c>
      <c r="J40">
        <f t="shared" si="0"/>
        <v>60</v>
      </c>
      <c r="K40">
        <f t="shared" si="1"/>
        <v>75</v>
      </c>
      <c r="L40">
        <f t="shared" si="2"/>
        <v>-15</v>
      </c>
    </row>
    <row r="41" spans="1:12" x14ac:dyDescent="0.25">
      <c r="A41" s="1">
        <v>40</v>
      </c>
      <c r="B41" t="s">
        <v>96</v>
      </c>
      <c r="C41" t="s">
        <v>10</v>
      </c>
      <c r="D41" s="2" t="s">
        <v>17</v>
      </c>
      <c r="E41" s="2" t="s">
        <v>32</v>
      </c>
      <c r="F41">
        <v>0</v>
      </c>
      <c r="G41">
        <v>1</v>
      </c>
      <c r="H41">
        <v>0</v>
      </c>
      <c r="I41">
        <v>5</v>
      </c>
      <c r="J41" t="e">
        <f t="shared" si="0"/>
        <v>#DIV/0!</v>
      </c>
      <c r="K41">
        <f t="shared" si="1"/>
        <v>80</v>
      </c>
      <c r="L41" t="e">
        <f t="shared" si="2"/>
        <v>#DIV/0!</v>
      </c>
    </row>
    <row r="42" spans="1:12" x14ac:dyDescent="0.25">
      <c r="A42" s="1">
        <v>41</v>
      </c>
      <c r="B42" t="s">
        <v>97</v>
      </c>
      <c r="C42" t="s">
        <v>10</v>
      </c>
      <c r="D42" s="2" t="s">
        <v>34</v>
      </c>
      <c r="E42" s="2" t="s">
        <v>22</v>
      </c>
      <c r="F42">
        <v>0</v>
      </c>
      <c r="G42">
        <v>3</v>
      </c>
      <c r="H42">
        <v>3</v>
      </c>
      <c r="I42">
        <v>4</v>
      </c>
      <c r="J42">
        <f t="shared" si="0"/>
        <v>100</v>
      </c>
      <c r="K42">
        <f t="shared" si="1"/>
        <v>25</v>
      </c>
      <c r="L42">
        <f t="shared" si="2"/>
        <v>75</v>
      </c>
    </row>
    <row r="43" spans="1:12" x14ac:dyDescent="0.25">
      <c r="A43" s="1">
        <v>42</v>
      </c>
      <c r="B43" t="s">
        <v>98</v>
      </c>
      <c r="C43" t="s">
        <v>10</v>
      </c>
      <c r="D43" s="2" t="s">
        <v>30</v>
      </c>
      <c r="E43" s="2" t="s">
        <v>12</v>
      </c>
      <c r="F43">
        <v>2</v>
      </c>
      <c r="G43">
        <v>3</v>
      </c>
      <c r="H43">
        <v>5</v>
      </c>
      <c r="I43">
        <v>5</v>
      </c>
      <c r="J43">
        <f t="shared" si="0"/>
        <v>60</v>
      </c>
      <c r="K43">
        <f t="shared" si="1"/>
        <v>40</v>
      </c>
      <c r="L43">
        <f t="shared" si="2"/>
        <v>20</v>
      </c>
    </row>
    <row r="44" spans="1:12" x14ac:dyDescent="0.25">
      <c r="A44" s="1">
        <v>43</v>
      </c>
      <c r="B44" t="s">
        <v>99</v>
      </c>
      <c r="C44" t="s">
        <v>10</v>
      </c>
      <c r="D44" s="2" t="s">
        <v>25</v>
      </c>
      <c r="E44" s="2" t="s">
        <v>27</v>
      </c>
      <c r="F44">
        <v>0</v>
      </c>
      <c r="G44">
        <v>1</v>
      </c>
      <c r="H44">
        <v>2</v>
      </c>
      <c r="I44">
        <v>6</v>
      </c>
      <c r="J44">
        <f t="shared" si="0"/>
        <v>100</v>
      </c>
      <c r="K44">
        <f t="shared" si="1"/>
        <v>83.333333333333343</v>
      </c>
      <c r="L44">
        <f t="shared" si="2"/>
        <v>16.666666666666657</v>
      </c>
    </row>
    <row r="45" spans="1:12" x14ac:dyDescent="0.25">
      <c r="A45" s="1">
        <v>44</v>
      </c>
      <c r="B45" t="s">
        <v>100</v>
      </c>
      <c r="C45" t="s">
        <v>37</v>
      </c>
      <c r="D45" s="2" t="s">
        <v>17</v>
      </c>
      <c r="E45" s="2" t="s">
        <v>34</v>
      </c>
      <c r="F45">
        <v>0</v>
      </c>
      <c r="G45">
        <v>2</v>
      </c>
      <c r="H45">
        <v>1</v>
      </c>
      <c r="I45">
        <v>8</v>
      </c>
      <c r="J45">
        <f t="shared" si="0"/>
        <v>100</v>
      </c>
      <c r="K45">
        <f t="shared" si="1"/>
        <v>75</v>
      </c>
      <c r="L45">
        <f t="shared" si="2"/>
        <v>25</v>
      </c>
    </row>
    <row r="46" spans="1:12" x14ac:dyDescent="0.25">
      <c r="A46" s="1">
        <v>45</v>
      </c>
      <c r="B46" t="s">
        <v>101</v>
      </c>
      <c r="C46" t="s">
        <v>37</v>
      </c>
      <c r="D46" s="2" t="s">
        <v>25</v>
      </c>
      <c r="E46" s="2" t="s">
        <v>33</v>
      </c>
      <c r="F46">
        <v>1</v>
      </c>
      <c r="G46">
        <v>2</v>
      </c>
      <c r="H46">
        <v>2</v>
      </c>
      <c r="I46">
        <v>8</v>
      </c>
      <c r="J46">
        <f t="shared" si="0"/>
        <v>50</v>
      </c>
      <c r="K46">
        <f t="shared" si="1"/>
        <v>75</v>
      </c>
      <c r="L46">
        <f t="shared" si="2"/>
        <v>-25</v>
      </c>
    </row>
    <row r="47" spans="1:12" x14ac:dyDescent="0.25">
      <c r="A47" s="1">
        <v>46</v>
      </c>
      <c r="B47" t="s">
        <v>102</v>
      </c>
      <c r="C47" t="s">
        <v>37</v>
      </c>
      <c r="D47" s="2" t="s">
        <v>19</v>
      </c>
      <c r="E47" s="2" t="s">
        <v>28</v>
      </c>
      <c r="F47">
        <v>1</v>
      </c>
      <c r="G47">
        <v>3</v>
      </c>
      <c r="H47">
        <v>5</v>
      </c>
      <c r="I47">
        <v>7</v>
      </c>
      <c r="J47">
        <f t="shared" si="0"/>
        <v>80</v>
      </c>
      <c r="K47">
        <f t="shared" si="1"/>
        <v>57.142857142857139</v>
      </c>
      <c r="L47">
        <f t="shared" si="2"/>
        <v>22.857142857142861</v>
      </c>
    </row>
    <row r="48" spans="1:12" x14ac:dyDescent="0.25">
      <c r="A48" s="1">
        <v>47</v>
      </c>
      <c r="B48" t="s">
        <v>103</v>
      </c>
      <c r="C48" t="s">
        <v>36</v>
      </c>
      <c r="D48" s="2" t="s">
        <v>25</v>
      </c>
      <c r="E48" s="2" t="s">
        <v>17</v>
      </c>
      <c r="F48">
        <v>0</v>
      </c>
      <c r="G48">
        <v>2</v>
      </c>
      <c r="H48">
        <v>3</v>
      </c>
      <c r="I48">
        <v>2</v>
      </c>
      <c r="J48">
        <f t="shared" si="0"/>
        <v>100</v>
      </c>
      <c r="K48">
        <f t="shared" si="1"/>
        <v>0</v>
      </c>
      <c r="L48">
        <f t="shared" si="2"/>
        <v>100</v>
      </c>
    </row>
    <row r="49" spans="1:12" x14ac:dyDescent="0.25">
      <c r="A49" s="1">
        <v>48</v>
      </c>
      <c r="B49" t="s">
        <v>104</v>
      </c>
      <c r="C49" t="s">
        <v>36</v>
      </c>
      <c r="D49" s="2" t="s">
        <v>19</v>
      </c>
      <c r="E49" s="2" t="s">
        <v>30</v>
      </c>
      <c r="F49">
        <v>1</v>
      </c>
      <c r="G49">
        <v>2</v>
      </c>
      <c r="H49">
        <v>2</v>
      </c>
      <c r="I49">
        <v>5</v>
      </c>
      <c r="J49">
        <f t="shared" si="0"/>
        <v>50</v>
      </c>
      <c r="K49">
        <f t="shared" si="1"/>
        <v>60</v>
      </c>
      <c r="L49">
        <f t="shared" si="2"/>
        <v>-10</v>
      </c>
    </row>
    <row r="50" spans="1:12" x14ac:dyDescent="0.25">
      <c r="A50" s="1">
        <v>49</v>
      </c>
      <c r="B50" t="s">
        <v>105</v>
      </c>
      <c r="C50" t="s">
        <v>35</v>
      </c>
      <c r="D50" s="2" t="s">
        <v>30</v>
      </c>
      <c r="E50" s="2" t="s">
        <v>17</v>
      </c>
      <c r="F50">
        <v>4</v>
      </c>
      <c r="G50">
        <v>6</v>
      </c>
      <c r="H50">
        <v>9</v>
      </c>
      <c r="I50">
        <v>11</v>
      </c>
      <c r="J50">
        <f t="shared" si="0"/>
        <v>55.555555555555557</v>
      </c>
      <c r="K50">
        <f t="shared" si="1"/>
        <v>45.454545454545453</v>
      </c>
      <c r="L50">
        <f t="shared" si="2"/>
        <v>10.101010101010104</v>
      </c>
    </row>
    <row r="51" spans="1:12" x14ac:dyDescent="0.25">
      <c r="A51" s="1">
        <v>50</v>
      </c>
      <c r="B51" t="s">
        <v>106</v>
      </c>
      <c r="C51" t="s">
        <v>11</v>
      </c>
      <c r="D51" s="2" t="s">
        <v>25</v>
      </c>
      <c r="E51" s="2" t="s">
        <v>19</v>
      </c>
      <c r="F51">
        <v>0</v>
      </c>
      <c r="G51">
        <v>1</v>
      </c>
      <c r="H51">
        <v>0</v>
      </c>
      <c r="I51">
        <v>12</v>
      </c>
      <c r="J51" t="e">
        <f t="shared" si="0"/>
        <v>#DIV/0!</v>
      </c>
      <c r="K51">
        <f t="shared" si="1"/>
        <v>91.666666666666657</v>
      </c>
      <c r="L51" t="e">
        <f t="shared" si="2"/>
        <v>#DIV/0!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Madan B K</dc:creator>
  <cp:lastModifiedBy>Be Sarman</cp:lastModifiedBy>
  <dcterms:created xsi:type="dcterms:W3CDTF">2026-08-22T13:06:49Z</dcterms:created>
  <dcterms:modified xsi:type="dcterms:W3CDTF">2026-08-29T13:26:26Z</dcterms:modified>
</cp:coreProperties>
</file>